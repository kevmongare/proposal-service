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Sheet" sheetId="1" state="visible" r:id="rId3"/>
    <sheet name="Quote Buil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<sst xmlns="http://schemas.openxmlformats.org/spreadsheetml/2006/main" count="48" uniqueCount="39">
  <si>
    <t xml:space="preserve">lead_id</t>
  </si>
  <si>
    <t xml:space="preserve">client_name</t>
  </si>
  <si>
    <t xml:space="preserve">organisation</t>
  </si>
  <si>
    <t xml:space="preserve">telephone</t>
  </si>
  <si>
    <t xml:space="preserve">email</t>
  </si>
  <si>
    <t xml:space="preserve">event_type</t>
  </si>
  <si>
    <t xml:space="preserve">event_date</t>
  </si>
  <si>
    <t xml:space="preserve">guest_count</t>
  </si>
  <si>
    <t xml:space="preserve">location</t>
  </si>
  <si>
    <t xml:space="preserve">status</t>
  </si>
  <si>
    <t xml:space="preserve">L-1001</t>
  </si>
  <si>
    <t xml:space="preserve">Sarah Prentice</t>
  </si>
  <si>
    <t xml:space="preserve">Blue Apple Contract Catering</t>
  </si>
  <si>
    <t xml:space="preserve">020 3452 2222</t>
  </si>
  <si>
    <t xml:space="preserve">sarah@blue-apple.co.uk</t>
  </si>
  <si>
    <t xml:space="preserve">Summer Event</t>
  </si>
  <si>
    <t xml:space="preserve">2026-06-06</t>
  </si>
  <si>
    <t xml:space="preserve">London: River Thames</t>
  </si>
  <si>
    <t xml:space="preserve">New</t>
  </si>
  <si>
    <t xml:space="preserve">proposal_ref</t>
  </si>
  <si>
    <t xml:space="preserve">prepared_by</t>
  </si>
  <si>
    <t xml:space="preserve">prepared_by_title</t>
  </si>
  <si>
    <t xml:space="preserve">date_prepared</t>
  </si>
  <si>
    <t xml:space="preserve">quote_valid_days</t>
  </si>
  <si>
    <t xml:space="preserve">event_date_requested</t>
  </si>
  <si>
    <t xml:space="preserve">event_timings</t>
  </si>
  <si>
    <t xml:space="preserve">duration_note</t>
  </si>
  <si>
    <t xml:space="preserve">per_head_price</t>
  </si>
  <si>
    <t xml:space="preserve">total_quote</t>
  </si>
  <si>
    <t xml:space="preserve">guest_range</t>
  </si>
  <si>
    <t xml:space="preserve">guest_quote_note</t>
  </si>
  <si>
    <t xml:space="preserve">pdf_status</t>
  </si>
  <si>
    <t xml:space="preserve">pdf_url</t>
  </si>
  <si>
    <t xml:space="preserve">WE.9056</t>
  </si>
  <si>
    <t xml:space="preserve">Katherine Bulaon</t>
  </si>
  <si>
    <t xml:space="preserve">Client Relationship Manager</t>
  </si>
  <si>
    <t xml:space="preserve">13:00hrs - 17:00hrs (TBC)</t>
  </si>
  <si>
    <t xml:space="preserve">Duration of hire can be amended upon request</t>
  </si>
  <si>
    <t xml:space="preserve">Pending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</si>
</sst>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dd\ mmmm\ yyyy"/>
    <numFmt numFmtId="167" formatCode="\£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n">
        <v>45</v>
      </c>
      <c r="I2" s="2" t="s">
        <v>17</v>
      </c>
      <c r="J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8" min="17" style="0" width="12"/>
    <col collapsed="false" customWidth="true" hidden="false" outlineLevel="0" max="19" min="19" style="0" width="40"/>
    <col collapsed="false" customWidth="true" hidden="false" outlineLevel="0" max="20" min="20" style="0" width="20"/>
    <col collapsed="false" customWidth="true" hidden="false" outlineLevel="0" max="21" min="21" style="0" width="10"/>
    <col collapsed="false" customWidth="true" hidden="false" outlineLevel="0" max="22" min="22" style="0" width="30"/>
  </cols>
  <sheetData>
    <row r="1" customFormat="false" ht="15" hidden="false" customHeight="false" outlineLevel="0" collapsed="false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24</v>
      </c>
      <c r="M1" s="1" t="s">
        <v>25</v>
      </c>
      <c r="N1" s="1" t="s">
        <v>26</v>
      </c>
      <c r="O1" s="1" t="s">
        <v>7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8</v>
      </c>
      <c r="U1" s="1" t="s">
        <v>31</v>
      </c>
      <c r="V1" s="1" t="s">
        <v>32</v>
      </c>
    </row>
    <row r="2" customFormat="false" ht="15" hidden="false" customHeight="false" outlineLevel="0" collapsed="false">
      <c r="A2" s="2" t="s">
        <v>10</v>
      </c>
      <c r="B2" s="2" t="s">
        <v>33</v>
      </c>
      <c r="C2" s="2" t="s">
        <v>34</v>
      </c>
      <c r="D2" s="2" t="s">
        <v>35</v>
      </c>
      <c r="E2" s="4" t="n">
        <f aca="true">TODAY()</f>
        <v>46203</v>
      </c>
      <c r="F2" s="2" t="n">
        <v>28</v>
      </c>
      <c r="G2" s="5" t="str">
        <f aca="false">VLOOKUP($A2,'Lead Sheet'!$A:$J,2,FALSE())</f>
        <v>Sarah Prentice</v>
      </c>
      <c r="H2" s="5" t="str">
        <f aca="false">VLOOKUP($A2,'Lead Sheet'!$A:$J,3,FALSE())</f>
        <v>Blue Apple Contract Catering</v>
      </c>
      <c r="I2" s="5" t="str">
        <f aca="false">VLOOKUP($A2,'Lead Sheet'!$A:$J,4,FALSE())</f>
        <v>020 3452 2222</v>
      </c>
      <c r="J2" s="5" t="str">
        <f aca="false">VLOOKUP($A2,'Lead Sheet'!$A:$J,5,FALSE())</f>
        <v>sarah@blue-apple.co.uk</v>
      </c>
      <c r="K2" s="5" t="str">
        <f aca="false">VLOOKUP($A2,'Lead Sheet'!$A:$J,6,FALSE())</f>
        <v>Summer Event</v>
      </c>
      <c r="L2" s="5" t="str">
        <f aca="false">TEXT(VLOOKUP($A2,'Lead Sheet'!$A:$J,7,FALSE()),"dddd d mmmm yyyy")&amp;" (Date TBC)"</f>
        <v>Saturday 6 June 2026 (Date TBC)</v>
      </c>
      <c r="M2" s="2" t="s">
        <v>36</v>
      </c>
      <c r="N2" s="2" t="s">
        <v>37</v>
      </c>
      <c r="O2" s="5" t="n">
        <f aca="false">VLOOKUP($A2,'Lead Sheet'!$A:$J,8,FALSE())</f>
        <v>45</v>
      </c>
      <c r="P2" s="6" t="n">
        <v>65</v>
      </c>
      <c r="Q2" s="7" t="n">
        <f aca="false">O2*P2</f>
        <v>2925</v>
      </c>
      <c r="R2" s="8" t="str">
        <f aca="false">O2&amp;" guests"</f>
        <v>45 guests</v>
      </c>
      <c r="S2" s="8" t="str">
        <f aca="false">"Quote based on "&amp;O2&amp;" guests at "&amp;TEXT(P2,"£0.00")&amp;" per head = "&amp;TEXT(Q2,"£#,##0.00")</f>
        <v>Quote based on 45 guests at £65.00 per head = £2,925.00</v>
      </c>
      <c r="T2" s="5" t="str">
        <f aca="false">VLOOKUP($A2,'Lead Sheet'!$A:$J,9,FALSE())</f>
        <v>London: River Thames</v>
      </c>
      <c r="U2" s="2" t="s">
        <v>38</v>
      </c>
      <c r="V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2026-06-30T23:16:43Z</dcterms:created>
  <dc:creator>openpyxl</dc:creator>
  <dc:description/>
  <dc:language>en-US</dc:language>
  <cp:lastModifiedBy/>
  <dcterms:modified xsi:type="dcterms:W3CDTF">2026-06-30T23:16:43Z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